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Marco Teórico" sheetId="2" r:id="rId5"/>
    <sheet state="visible" name="Materiales-Equipos" sheetId="3" r:id="rId6"/>
    <sheet state="visible" name="Procedimiento" sheetId="4" r:id="rId7"/>
    <sheet state="visible" name="Resultados-Calculos" sheetId="5" r:id="rId8"/>
    <sheet state="visible" name="Análisis" sheetId="6" r:id="rId9"/>
    <sheet state="visible" name="Conclusiones" sheetId="7" r:id="rId10"/>
  </sheets>
  <definedNames/>
  <calcPr/>
</workbook>
</file>

<file path=xl/sharedStrings.xml><?xml version="1.0" encoding="utf-8"?>
<sst xmlns="http://schemas.openxmlformats.org/spreadsheetml/2006/main" count="93" uniqueCount="26">
  <si>
    <t>Materiales</t>
  </si>
  <si>
    <t>• Pelota de plastico.</t>
  </si>
  <si>
    <t>Equipos</t>
  </si>
  <si>
    <t>• Smart Time, es un dispositivo electrónico de medición de tiempo de alta precisión, especialmente diseñado para su uso en experimentos de laboratorio, particularmente en la rama de la mecánica.</t>
  </si>
  <si>
    <t>• Lanzadora de proyectiles, es dispositivo (como una pistola o un resorte) capaz de lanzar una pequeña esfera o proyectil con una velocidad inicial a un ángulo ajustable.</t>
  </si>
  <si>
    <t>• Time-of-Flight Accessory, es un dispositivo de laboratorio diseñado específicamente para medir el tiempo que un proyectil u objeto pasa en el aire durante experimentos de física.</t>
  </si>
  <si>
    <t>• Cinta métrica, es un instrumento de medición flexible utilizado para determinar la longitud o la distancia entre dos puntos, tanto en superficies planas como curvas.</t>
  </si>
  <si>
    <t>Movimiento en dos dimensiones</t>
  </si>
  <si>
    <t>2d. Complete la siguiente tabla asegurando que el lanzador no este inclinado. Para ello el ángulo de inclinación debe ser de cero grados:</t>
  </si>
  <si>
    <t>Ángulo de inclinación (0°)</t>
  </si>
  <si>
    <t>Tiempo de vuelo (s)</t>
  </si>
  <si>
    <t>Alcance Máximo (cm)</t>
  </si>
  <si>
    <t>Altura Inicial (cm)</t>
  </si>
  <si>
    <t>Corto</t>
  </si>
  <si>
    <t>Cálculo de la gravedad (m/s²)</t>
  </si>
  <si>
    <t>Alcance</t>
  </si>
  <si>
    <t>Promedio</t>
  </si>
  <si>
    <t>Mediano</t>
  </si>
  <si>
    <t>Largo</t>
  </si>
  <si>
    <t>2e. Ahora proceda a variar el ángulo de inclinación del lanzador. Utilizando 3 ángulos diferentes. Para ello primero debe validar el mayor alcance posible con el mayor ángulo posible. Esto dependerá básicamente de la longitud de los cables de las fotocompuertas.</t>
  </si>
  <si>
    <t>2.f Complete las siguientes tablas</t>
  </si>
  <si>
    <t>Ángulo de inclinación (5°)</t>
  </si>
  <si>
    <t>La esfera no llega a caer sobre el aparato para comprobar el tiempo de vuelo, debido a que los cables del aparato no llegan al lugar donde cae la esfera.</t>
  </si>
  <si>
    <t>Ángulo de inclinación (10°)</t>
  </si>
  <si>
    <t>La esfera no llega a caer sobre el aparato para comprobar el tiempo de vuelo, debido a que la esfera choca contra la pared del laboratorio.</t>
  </si>
  <si>
    <t>Ángulo de inclinación (15°)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</si>
</sst>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000"/>
    <numFmt numFmtId="166" formatCode="0.00000"/>
    <numFmt numFmtId="167" formatCode="d-m"/>
  </numFmts>
  <fonts count="6">
    <font>
      <sz val="10.0"/>
      <color rgb="FF000000"/>
      <name val="Arial"/>
      <scheme val="minor"/>
    </font>
    <font>
      <color theme="1"/>
      <name val="Arial"/>
      <scheme val="minor"/>
    </font>
    <font>
      <color theme="1"/>
      <name val="Arial"/>
    </font>
    <font>
      <b/>
      <color theme="1"/>
      <name val="Arial"/>
      <scheme val="minor"/>
    </font>
    <font>
      <b/>
      <color theme="1"/>
      <name val="Arial"/>
    </font>
    <font/>
  </fonts>
  <fills count="3">
    <fill>
      <patternFill patternType="none"/>
    </fill>
    <fill>
      <patternFill patternType="lightGray"/>
    </fill>
    <fill>
      <patternFill patternType="solid">
        <fgColor rgb="FFEAD1DC"/>
        <bgColor rgb="FFEAD1DC"/>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wrapText="1"/>
    </xf>
    <xf borderId="1" fillId="2" fontId="3" numFmtId="0" xfId="0" applyAlignment="1" applyBorder="1" applyFill="1" applyFont="1">
      <alignment horizontal="center" readingOrder="0" shrinkToFit="0" vertical="center" wrapText="1"/>
    </xf>
    <xf borderId="2" fillId="2" fontId="4" numFmtId="0" xfId="0" applyAlignment="1" applyBorder="1" applyFont="1">
      <alignment horizontal="center" readingOrder="0" shrinkToFit="0" vertical="center" wrapText="1"/>
    </xf>
    <xf borderId="2" fillId="2" fontId="4" numFmtId="0" xfId="0" applyAlignment="1" applyBorder="1" applyFont="1">
      <alignment horizontal="center" vertical="center"/>
    </xf>
    <xf borderId="1" fillId="2" fontId="4" numFmtId="0" xfId="0" applyAlignment="1" applyBorder="1" applyFont="1">
      <alignment horizontal="center" vertical="bottom"/>
    </xf>
    <xf borderId="3" fillId="0" fontId="5" numFmtId="0" xfId="0" applyBorder="1" applyFont="1"/>
    <xf borderId="4" fillId="0" fontId="5" numFmtId="0" xfId="0" applyBorder="1" applyFont="1"/>
    <xf borderId="1" fillId="0" fontId="2" numFmtId="0" xfId="0" applyAlignment="1" applyBorder="1" applyFont="1">
      <alignment horizontal="center" vertical="bottom"/>
    </xf>
    <xf borderId="1" fillId="0" fontId="1" numFmtId="164" xfId="0" applyAlignment="1" applyBorder="1" applyFont="1" applyNumberFormat="1">
      <alignment horizontal="center" readingOrder="0"/>
    </xf>
    <xf borderId="2" fillId="0" fontId="1" numFmtId="0" xfId="0" applyAlignment="1" applyBorder="1" applyFont="1">
      <alignment horizontal="center" readingOrder="0" vertical="center"/>
    </xf>
    <xf borderId="5" fillId="0" fontId="1" numFmtId="164" xfId="0" applyAlignment="1" applyBorder="1" applyFont="1" applyNumberFormat="1">
      <alignment horizontal="center" vertical="center"/>
    </xf>
    <xf borderId="3" fillId="0" fontId="1" numFmtId="0" xfId="0" applyAlignment="1" applyBorder="1" applyFont="1">
      <alignment horizontal="center" vertical="center"/>
    </xf>
    <xf borderId="6" fillId="0" fontId="1" numFmtId="0" xfId="0" applyAlignment="1" applyBorder="1" applyFont="1">
      <alignment horizontal="center" vertical="center"/>
    </xf>
    <xf borderId="2" fillId="0" fontId="1" numFmtId="2" xfId="0" applyAlignment="1" applyBorder="1" applyFont="1" applyNumberFormat="1">
      <alignment horizontal="center" vertical="center"/>
    </xf>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0" fillId="0" fontId="1" numFmtId="0" xfId="0" applyAlignment="1" applyFont="1">
      <alignment horizontal="center" vertical="center"/>
    </xf>
    <xf borderId="1" fillId="2" fontId="4"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2" fillId="2" fontId="4"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165" xfId="0" applyAlignment="1" applyBorder="1" applyFont="1" applyNumberFormat="1">
      <alignment horizontal="center" readingOrder="0" vertical="center"/>
    </xf>
    <xf borderId="5" fillId="0" fontId="1" numFmtId="166" xfId="0" applyAlignment="1" applyBorder="1" applyFont="1" applyNumberFormat="1">
      <alignment horizontal="center" vertical="center"/>
    </xf>
    <xf borderId="1" fillId="0" fontId="1" numFmtId="0" xfId="0" applyAlignment="1" applyBorder="1" applyFont="1">
      <alignment horizontal="center" readingOrder="0"/>
    </xf>
    <xf borderId="5" fillId="0" fontId="1" numFmtId="0" xfId="0" applyAlignment="1" applyBorder="1" applyFont="1">
      <alignment horizontal="center" vertical="center"/>
    </xf>
    <xf borderId="0" fillId="0" fontId="2" numFmtId="0" xfId="0" applyAlignment="1" applyFont="1">
      <alignment shrinkToFit="0" vertical="center" wrapText="1"/>
    </xf>
    <xf borderId="9" fillId="2" fontId="4" numFmtId="0" xfId="0" applyAlignment="1" applyBorder="1" applyFont="1">
      <alignment horizontal="center" vertical="bottom"/>
    </xf>
    <xf borderId="5" fillId="0" fontId="1" numFmtId="165" xfId="0" applyAlignment="1" applyBorder="1" applyFont="1" applyNumberFormat="1">
      <alignment horizontal="center" vertical="center"/>
    </xf>
    <xf borderId="9" fillId="0" fontId="2" numFmtId="0" xfId="0" applyAlignment="1" applyBorder="1" applyFont="1">
      <alignment shrinkToFit="0" vertical="bottom" wrapText="1"/>
    </xf>
    <xf borderId="10" fillId="0" fontId="5" numFmtId="0" xfId="0" applyBorder="1" applyFont="1"/>
    <xf borderId="11" fillId="0" fontId="5" numFmtId="0" xfId="0" applyBorder="1" applyFont="1"/>
    <xf borderId="0" fillId="0" fontId="1" numFmtId="0" xfId="0" applyAlignment="1" applyFont="1">
      <alignment vertical="center"/>
    </xf>
    <xf borderId="1" fillId="0" fontId="2"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9" fillId="0" fontId="2" numFmtId="167" xfId="0" applyAlignment="1" applyBorder="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1</xdr:row>
      <xdr:rowOff>85725</xdr:rowOff>
    </xdr:from>
    <xdr:ext cx="7258050" cy="5381625"/>
    <xdr:grpSp>
      <xdr:nvGrpSpPr>
        <xdr:cNvPr id="2" name="Shape 2" title="Dibujo"/>
        <xdr:cNvGrpSpPr/>
      </xdr:nvGrpSpPr>
      <xdr:grpSpPr>
        <a:xfrm>
          <a:off x="0" y="224425"/>
          <a:ext cx="7248900" cy="5366225"/>
          <a:chOff x="0" y="224425"/>
          <a:chExt cx="7248900" cy="5366225"/>
        </a:xfrm>
      </xdr:grpSpPr>
      <xdr:sp>
        <xdr:nvSpPr>
          <xdr:cNvPr id="3" name="Shape 3"/>
          <xdr:cNvSpPr txBox="1"/>
        </xdr:nvSpPr>
        <xdr:spPr>
          <a:xfrm>
            <a:off x="0" y="224425"/>
            <a:ext cx="7248900" cy="1234800"/>
          </a:xfrm>
          <a:prstGeom prst="rect">
            <a:avLst/>
          </a:prstGeom>
          <a:noFill/>
          <a:ln>
            <a:noFill/>
          </a:ln>
        </xdr:spPr>
        <xdr:txBody>
          <a:bodyPr anchorCtr="0" anchor="t" bIns="91425" lIns="91425" spcFirstLastPara="1" rIns="91425" wrap="square" tIns="91425">
            <a:noAutofit/>
          </a:bodyPr>
          <a:lstStyle/>
          <a:p>
            <a:pPr indent="0" lvl="0" marL="0" rtl="0" algn="ctr">
              <a:lnSpc>
                <a:spcPct val="100000"/>
              </a:lnSpc>
              <a:spcBef>
                <a:spcPts val="0"/>
              </a:spcBef>
              <a:spcAft>
                <a:spcPts val="0"/>
              </a:spcAft>
              <a:buNone/>
            </a:pPr>
            <a:r>
              <a:rPr lang="en-US" sz="1400"/>
              <a:t>Universidad Católica Andrés Bello</a:t>
            </a:r>
            <a:endParaRPr sz="1400"/>
          </a:p>
          <a:p>
            <a:pPr indent="0" lvl="0" marL="0" rtl="0" algn="ctr">
              <a:lnSpc>
                <a:spcPct val="100000"/>
              </a:lnSpc>
              <a:spcBef>
                <a:spcPts val="0"/>
              </a:spcBef>
              <a:spcAft>
                <a:spcPts val="0"/>
              </a:spcAft>
              <a:buNone/>
            </a:pPr>
            <a:r>
              <a:rPr lang="en-US" sz="1400"/>
              <a:t>Facultad de Ingeniería y Arquitectura</a:t>
            </a:r>
            <a:endParaRPr sz="1400"/>
          </a:p>
          <a:p>
            <a:pPr indent="0" lvl="0" marL="0" rtl="0" algn="ctr">
              <a:lnSpc>
                <a:spcPct val="100000"/>
              </a:lnSpc>
              <a:spcBef>
                <a:spcPts val="0"/>
              </a:spcBef>
              <a:spcAft>
                <a:spcPts val="0"/>
              </a:spcAft>
              <a:buNone/>
            </a:pPr>
            <a:r>
              <a:rPr lang="en-US" sz="1400"/>
              <a:t>Departamento de Física</a:t>
            </a:r>
            <a:endParaRPr sz="1400"/>
          </a:p>
          <a:p>
            <a:pPr indent="0" lvl="0" marL="0" rtl="0" algn="ctr">
              <a:lnSpc>
                <a:spcPct val="100000"/>
              </a:lnSpc>
              <a:spcBef>
                <a:spcPts val="0"/>
              </a:spcBef>
              <a:spcAft>
                <a:spcPts val="0"/>
              </a:spcAft>
              <a:buNone/>
            </a:pPr>
            <a:r>
              <a:rPr lang="en-US" sz="1400"/>
              <a:t>Materia: Laboratorio de Física</a:t>
            </a:r>
            <a:endParaRPr sz="1400"/>
          </a:p>
          <a:p>
            <a:pPr indent="0" lvl="0" marL="0" rtl="0" algn="ctr">
              <a:lnSpc>
                <a:spcPct val="100000"/>
              </a:lnSpc>
              <a:spcBef>
                <a:spcPts val="0"/>
              </a:spcBef>
              <a:spcAft>
                <a:spcPts val="0"/>
              </a:spcAft>
              <a:buNone/>
            </a:pPr>
            <a:r>
              <a:rPr lang="en-US" sz="1400"/>
              <a:t>Profesor: Juan Lavado</a:t>
            </a:r>
            <a:endParaRPr sz="1400"/>
          </a:p>
        </xdr:txBody>
      </xdr:sp>
      <xdr:sp>
        <xdr:nvSpPr>
          <xdr:cNvPr id="4" name="Shape 4"/>
          <xdr:cNvSpPr txBox="1"/>
        </xdr:nvSpPr>
        <xdr:spPr>
          <a:xfrm>
            <a:off x="2291100" y="2569500"/>
            <a:ext cx="3037800" cy="576000"/>
          </a:xfrm>
          <a:prstGeom prst="rect">
            <a:avLst/>
          </a:prstGeom>
          <a:noFill/>
          <a:ln>
            <a:noFill/>
          </a:ln>
        </xdr:spPr>
        <xdr:txBody>
          <a:bodyPr anchorCtr="0" anchor="t" bIns="91425" lIns="91425" spcFirstLastPara="1" rIns="91425" wrap="square" tIns="91425">
            <a:noAutofit/>
          </a:bodyPr>
          <a:lstStyle/>
          <a:p>
            <a:pPr indent="0" lvl="0" marL="0" rtl="0" algn="ctr">
              <a:lnSpc>
                <a:spcPct val="100000"/>
              </a:lnSpc>
              <a:spcBef>
                <a:spcPts val="0"/>
              </a:spcBef>
              <a:spcAft>
                <a:spcPts val="0"/>
              </a:spcAft>
              <a:buNone/>
            </a:pPr>
            <a:r>
              <a:rPr b="1" lang="en-US" sz="1400" u="sng"/>
              <a:t>Segundo Reporte</a:t>
            </a:r>
            <a:endParaRPr b="1" sz="1400" u="sng"/>
          </a:p>
          <a:p>
            <a:pPr indent="0" lvl="0" marL="0" rtl="0" algn="ctr">
              <a:lnSpc>
                <a:spcPct val="100000"/>
              </a:lnSpc>
              <a:spcBef>
                <a:spcPts val="0"/>
              </a:spcBef>
              <a:spcAft>
                <a:spcPts val="0"/>
              </a:spcAft>
              <a:buNone/>
            </a:pPr>
            <a:r>
              <a:rPr b="1" lang="en-US" sz="1400" u="sng"/>
              <a:t>Movimiento en dos Dimensiones</a:t>
            </a:r>
            <a:endParaRPr b="1" sz="1400" u="sng"/>
          </a:p>
        </xdr:txBody>
      </xdr:sp>
      <xdr:sp>
        <xdr:nvSpPr>
          <xdr:cNvPr id="5" name="Shape 5"/>
          <xdr:cNvSpPr txBox="1"/>
        </xdr:nvSpPr>
        <xdr:spPr>
          <a:xfrm>
            <a:off x="4264500" y="3858450"/>
            <a:ext cx="2984400" cy="1732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Grupo 2:</a:t>
            </a:r>
            <a:endParaRPr sz="1400"/>
          </a:p>
          <a:p>
            <a:pPr indent="0" lvl="0" marL="0" rtl="0" algn="l">
              <a:spcBef>
                <a:spcPts val="0"/>
              </a:spcBef>
              <a:spcAft>
                <a:spcPts val="0"/>
              </a:spcAft>
              <a:buNone/>
            </a:pPr>
            <a:r>
              <a:rPr lang="en-US" sz="1400"/>
              <a:t>Ariana Fernández (C.I. 30.411750)</a:t>
            </a:r>
            <a:endParaRPr sz="1400"/>
          </a:p>
          <a:p>
            <a:pPr indent="0" lvl="0" marL="0" rtl="0" algn="l">
              <a:spcBef>
                <a:spcPts val="0"/>
              </a:spcBef>
              <a:spcAft>
                <a:spcPts val="0"/>
              </a:spcAft>
              <a:buNone/>
            </a:pPr>
            <a:r>
              <a:rPr lang="en-US" sz="1400"/>
              <a:t>Ramsés González (C.I. 31222025)</a:t>
            </a:r>
            <a:endParaRPr sz="1400"/>
          </a:p>
          <a:p>
            <a:pPr indent="0" lvl="0" marL="0" rtl="0" algn="l">
              <a:spcBef>
                <a:spcPts val="0"/>
              </a:spcBef>
              <a:spcAft>
                <a:spcPts val="0"/>
              </a:spcAft>
              <a:buNone/>
            </a:pPr>
            <a:r>
              <a:rPr lang="en-US" sz="1400"/>
              <a:t>María Hohn (C.I. 30330645)</a:t>
            </a:r>
            <a:endParaRPr sz="1400"/>
          </a:p>
          <a:p>
            <a:pPr indent="0" lvl="0" marL="0" rtl="0" algn="l">
              <a:spcBef>
                <a:spcPts val="0"/>
              </a:spcBef>
              <a:spcAft>
                <a:spcPts val="0"/>
              </a:spcAft>
              <a:buNone/>
            </a:pPr>
            <a:r>
              <a:rPr lang="en-US" sz="1400"/>
              <a:t>Jesús Mora (C.I. 31127594 )</a:t>
            </a:r>
            <a:endParaRPr sz="1400"/>
          </a:p>
          <a:p>
            <a:pPr indent="0" lvl="0" marL="0" rtl="0" algn="l">
              <a:spcBef>
                <a:spcPts val="0"/>
              </a:spcBef>
              <a:spcAft>
                <a:spcPts val="0"/>
              </a:spcAft>
              <a:buNone/>
            </a:pPr>
            <a:r>
              <a:rPr lang="en-US" sz="1400"/>
              <a:t>Alejandro Poveda (C.I. 28472645 )</a:t>
            </a:r>
            <a:br>
              <a:rPr lang="en-US" sz="1400"/>
            </a:br>
            <a:r>
              <a:rPr lang="en-US" sz="1400"/>
              <a:t>Omar Velarde (C.I. 2992603)</a:t>
            </a:r>
            <a:endParaRPr sz="1400"/>
          </a:p>
        </xdr:txBody>
      </xdr:sp>
      <xdr:pic>
        <xdr:nvPicPr>
          <xdr:cNvPr descr="Uso Correcto del Logo Institucional • UCAB" id="6" name="Shape 6"/>
          <xdr:cNvPicPr preferRelativeResize="0"/>
        </xdr:nvPicPr>
        <xdr:blipFill rotWithShape="1">
          <a:blip r:embed="rId1">
            <a:alphaModFix/>
          </a:blip>
          <a:srcRect b="0" l="0" r="0" t="0"/>
          <a:stretch/>
        </xdr:blipFill>
        <xdr:spPr>
          <a:xfrm>
            <a:off x="5511905" y="347554"/>
            <a:ext cx="894005" cy="988536"/>
          </a:xfrm>
          <a:prstGeom prst="rect">
            <a:avLst/>
          </a:prstGeom>
          <a:noFill/>
          <a:ln>
            <a:noFill/>
          </a:ln>
        </xdr:spPr>
      </xdr:pic>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0</xdr:row>
      <xdr:rowOff>180975</xdr:rowOff>
    </xdr:from>
    <xdr:ext cx="6029325" cy="5162550"/>
    <xdr:sp>
      <xdr:nvSpPr>
        <xdr:cNvPr id="7" name="Shape 7"/>
        <xdr:cNvSpPr txBox="1"/>
      </xdr:nvSpPr>
      <xdr:spPr>
        <a:xfrm>
          <a:off x="102500" y="234575"/>
          <a:ext cx="6009300" cy="5146500"/>
        </a:xfrm>
        <a:prstGeom prst="rect">
          <a:avLst/>
        </a:prstGeom>
        <a:noFill/>
        <a:ln>
          <a:noFill/>
        </a:ln>
      </xdr:spPr>
      <xdr:txBody>
        <a:bodyPr anchorCtr="0" anchor="t" bIns="91425" lIns="91425" spcFirstLastPara="1" rIns="91425" wrap="square" tIns="91425">
          <a:noAutofit/>
        </a:bodyPr>
        <a:lstStyle/>
        <a:p>
          <a:pPr indent="0" lvl="0" marL="0" rtl="0" algn="l">
            <a:lnSpc>
              <a:spcPct val="100000"/>
            </a:lnSpc>
            <a:spcBef>
              <a:spcPts val="0"/>
            </a:spcBef>
            <a:spcAft>
              <a:spcPts val="0"/>
            </a:spcAft>
            <a:buNone/>
          </a:pPr>
          <a:r>
            <a:rPr lang="en-US" sz="1400"/>
            <a:t>1. Objetivos de la Práctica</a:t>
          </a:r>
          <a:endParaRPr sz="1400"/>
        </a:p>
        <a:p>
          <a:pPr indent="0" lvl="0" marL="0" rtl="0" algn="l">
            <a:lnSpc>
              <a:spcPct val="100000"/>
            </a:lnSpc>
            <a:spcBef>
              <a:spcPts val="0"/>
            </a:spcBef>
            <a:spcAft>
              <a:spcPts val="0"/>
            </a:spcAft>
            <a:buNone/>
          </a:pPr>
          <a:r>
            <a:rPr lang="en-US" sz="1400"/>
            <a:t>Objetivo General</a:t>
          </a:r>
          <a:endParaRPr sz="1400"/>
        </a:p>
        <a:p>
          <a:pPr indent="-317500" lvl="0" marL="457200" rtl="0" algn="l">
            <a:lnSpc>
              <a:spcPct val="100000"/>
            </a:lnSpc>
            <a:spcBef>
              <a:spcPts val="0"/>
            </a:spcBef>
            <a:spcAft>
              <a:spcPts val="0"/>
            </a:spcAft>
            <a:buSzPts val="1400"/>
            <a:buChar char="●"/>
          </a:pPr>
          <a:r>
            <a:rPr lang="en-US" sz="1400"/>
            <a:t>Determinar el valor de la aceleración de la gravedad (g) a través del estudio del movimiento en dos dimensiones.</a:t>
          </a:r>
          <a:endParaRPr sz="1400"/>
        </a:p>
        <a:p>
          <a:pPr indent="0" lvl="0" marL="0" rtl="0" algn="l">
            <a:lnSpc>
              <a:spcPct val="100000"/>
            </a:lnSpc>
            <a:spcBef>
              <a:spcPts val="0"/>
            </a:spcBef>
            <a:spcAft>
              <a:spcPts val="0"/>
            </a:spcAft>
            <a:buNone/>
          </a:pPr>
          <a:r>
            <a:rPr lang="en-US" sz="1400"/>
            <a:t>Objetivos Específicos</a:t>
          </a:r>
          <a:endParaRPr sz="1400"/>
        </a:p>
        <a:p>
          <a:pPr indent="-317500" lvl="0" marL="457200" rtl="0" algn="l">
            <a:lnSpc>
              <a:spcPct val="100000"/>
            </a:lnSpc>
            <a:spcBef>
              <a:spcPts val="0"/>
            </a:spcBef>
            <a:spcAft>
              <a:spcPts val="0"/>
            </a:spcAft>
            <a:buSzPts val="1400"/>
            <a:buChar char="●"/>
          </a:pPr>
          <a:r>
            <a:rPr lang="en-US" sz="1400"/>
            <a:t>Analizar el movimiento de lanzamiento de proyectil.</a:t>
          </a:r>
          <a:endParaRPr sz="1400"/>
        </a:p>
        <a:p>
          <a:pPr indent="-317500" lvl="0" marL="457200" rtl="0" algn="l">
            <a:lnSpc>
              <a:spcPct val="100000"/>
            </a:lnSpc>
            <a:spcBef>
              <a:spcPts val="0"/>
            </a:spcBef>
            <a:spcAft>
              <a:spcPts val="0"/>
            </a:spcAft>
            <a:buSzPts val="1400"/>
            <a:buChar char="●"/>
          </a:pPr>
          <a:r>
            <a:rPr lang="en-US" sz="1400"/>
            <a:t>Medir las variables cinemáticas (tiempo de vuelo y alcance) para diferentes ángulos de inclinación y potencias de lanzamiento.</a:t>
          </a:r>
          <a:endParaRPr sz="1400"/>
        </a:p>
        <a:p>
          <a:pPr indent="0" lvl="0" marL="0" rtl="0" algn="l">
            <a:lnSpc>
              <a:spcPct val="100000"/>
            </a:lnSpc>
            <a:spcBef>
              <a:spcPts val="0"/>
            </a:spcBef>
            <a:spcAft>
              <a:spcPts val="0"/>
            </a:spcAft>
            <a:buNone/>
          </a:pPr>
          <a:r>
            <a:t/>
          </a:r>
          <a:endParaRPr sz="1400"/>
        </a:p>
        <a:p>
          <a:pPr indent="0" lvl="0" marL="0" rtl="0" algn="l">
            <a:lnSpc>
              <a:spcPct val="100000"/>
            </a:lnSpc>
            <a:spcBef>
              <a:spcPts val="0"/>
            </a:spcBef>
            <a:spcAft>
              <a:spcPts val="0"/>
            </a:spcAft>
            <a:buNone/>
          </a:pPr>
          <a:r>
            <a:rPr lang="en-US" sz="1400"/>
            <a:t>2. Fundamento Teórico</a:t>
          </a:r>
          <a:endParaRPr sz="1400"/>
        </a:p>
        <a:p>
          <a:pPr indent="0" lvl="0" marL="0" rtl="0" algn="l">
            <a:lnSpc>
              <a:spcPct val="100000"/>
            </a:lnSpc>
            <a:spcBef>
              <a:spcPts val="0"/>
            </a:spcBef>
            <a:spcAft>
              <a:spcPts val="0"/>
            </a:spcAft>
            <a:buNone/>
          </a:pPr>
          <a:r>
            <a:rPr lang="en-US" sz="1400"/>
            <a:t>El Movimiento en Dos Dimensiones (Movimiento de Proyectiles) es la superposición de dos movimientos unidimensionales mutuamente independientes.</a:t>
          </a:r>
          <a:endParaRPr sz="1400"/>
        </a:p>
        <a:p>
          <a:pPr indent="-317500" lvl="0" marL="457200" rtl="0" algn="l">
            <a:lnSpc>
              <a:spcPct val="100000"/>
            </a:lnSpc>
            <a:spcBef>
              <a:spcPts val="0"/>
            </a:spcBef>
            <a:spcAft>
              <a:spcPts val="0"/>
            </a:spcAft>
            <a:buSzPts val="1400"/>
            <a:buChar char="●"/>
          </a:pPr>
          <a:r>
            <a:rPr lang="en-US" sz="1400"/>
            <a:t>Eje Horizontal (x): Se rige por el Movimiento Rectilíneo Uniforme (MRU), ya que la aceleración es nula. La velocidad horizontal es constante.</a:t>
          </a:r>
          <a:endParaRPr sz="1400"/>
        </a:p>
        <a:p>
          <a:pPr indent="-317500" lvl="0" marL="457200" rtl="0" algn="l">
            <a:lnSpc>
              <a:spcPct val="100000"/>
            </a:lnSpc>
            <a:spcBef>
              <a:spcPts val="0"/>
            </a:spcBef>
            <a:spcAft>
              <a:spcPts val="0"/>
            </a:spcAft>
            <a:buSzPts val="1400"/>
            <a:buChar char="●"/>
          </a:pPr>
          <a:r>
            <a:rPr lang="en-US" sz="1400"/>
            <a:t>Eje Vertical (y): Se rige por el Movimiento Rectilíneo Uniformemente Acelerado (MRUA) (Caída Libre), bajo la acción de la aceleración de la gravedad. La trayectoria resultante es una parábola.</a:t>
          </a:r>
          <a:endParaRPr sz="1400"/>
        </a:p>
        <a:p>
          <a:pPr indent="0" lvl="0" marL="0" rtl="0" algn="l">
            <a:lnSpc>
              <a:spcPct val="100000"/>
            </a:lnSpc>
            <a:spcBef>
              <a:spcPts val="0"/>
            </a:spcBef>
            <a:spcAft>
              <a:spcPts val="0"/>
            </a:spcAft>
            <a:buNone/>
          </a:pPr>
          <a:r>
            <a:t/>
          </a:r>
          <a:endParaRPr sz="1400"/>
        </a:p>
        <a:p>
          <a:pPr indent="0" lvl="0" marL="0" rtl="0" algn="l">
            <a:lnSpc>
              <a:spcPct val="100000"/>
            </a:lnSpc>
            <a:spcBef>
              <a:spcPts val="0"/>
            </a:spcBef>
            <a:spcAft>
              <a:spcPts val="0"/>
            </a:spcAft>
            <a:buNone/>
          </a:pPr>
          <a:r>
            <a:rPr lang="en-US" sz="1400"/>
            <a:t>La práctica se enfoca en medir el Alcance y el Tiempo de Vuelo del proyectil para validar experimentalmente estas leyes cinemáticas y determinar el valor de g.</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114300</xdr:rowOff>
    </xdr:from>
    <xdr:ext cx="7562850" cy="5381625"/>
    <xdr:sp>
      <xdr:nvSpPr>
        <xdr:cNvPr id="8" name="Shape 8"/>
        <xdr:cNvSpPr txBox="1"/>
      </xdr:nvSpPr>
      <xdr:spPr>
        <a:xfrm>
          <a:off x="-62100" y="17400"/>
          <a:ext cx="7620000" cy="5359200"/>
        </a:xfrm>
        <a:prstGeom prst="rect">
          <a:avLst/>
        </a:prstGeom>
        <a:noFill/>
        <a:ln>
          <a:noFill/>
        </a:ln>
      </xdr:spPr>
      <xdr:txBody>
        <a:bodyPr anchorCtr="0" anchor="t" bIns="91425" lIns="91425" spcFirstLastPara="1" rIns="91425" wrap="square" tIns="91425">
          <a:noAutofit/>
        </a:bodyPr>
        <a:lstStyle/>
        <a:p>
          <a:pPr indent="0" lvl="0" marL="0" rtl="0" algn="just">
            <a:lnSpc>
              <a:spcPct val="115000"/>
            </a:lnSpc>
            <a:spcBef>
              <a:spcPts val="1200"/>
            </a:spcBef>
            <a:spcAft>
              <a:spcPts val="0"/>
            </a:spcAft>
            <a:buNone/>
          </a:pPr>
          <a:r>
            <a:rPr lang="en-US" sz="1400">
              <a:highlight>
                <a:srgbClr val="EAD1DC"/>
              </a:highlight>
              <a:latin typeface="Times New Roman"/>
              <a:ea typeface="Times New Roman"/>
              <a:cs typeface="Times New Roman"/>
              <a:sym typeface="Times New Roman"/>
            </a:rPr>
            <a:t>Desarrollo de la parte experimental.</a:t>
          </a:r>
          <a:endParaRPr sz="1400">
            <a:highlight>
              <a:srgbClr val="EAD1DC"/>
            </a:highlight>
            <a:latin typeface="Times New Roman"/>
            <a:ea typeface="Times New Roman"/>
            <a:cs typeface="Times New Roman"/>
            <a:sym typeface="Times New Roman"/>
          </a:endParaRPr>
        </a:p>
        <a:p>
          <a:pPr indent="0" lvl="0" marL="0" rtl="0" algn="just">
            <a:lnSpc>
              <a:spcPct val="115000"/>
            </a:lnSpc>
            <a:spcBef>
              <a:spcPts val="1200"/>
            </a:spcBef>
            <a:spcAft>
              <a:spcPts val="0"/>
            </a:spcAft>
            <a:buNone/>
          </a:pPr>
          <a:r>
            <a:rPr lang="en-US" sz="1400">
              <a:latin typeface="Times New Roman"/>
              <a:ea typeface="Times New Roman"/>
              <a:cs typeface="Times New Roman"/>
              <a:sym typeface="Times New Roman"/>
            </a:rPr>
            <a:t>Para esta parte experimental contaremos con un sistema de lanzamiento de proyectiles que consta de un lanzador, un smart time, un montaje de movimiento en dos dimensiones, una pelota (que introduciremos en el lanzador) y un metro.</a:t>
          </a:r>
          <a:endParaRPr sz="1400">
            <a:latin typeface="Times New Roman"/>
            <a:ea typeface="Times New Roman"/>
            <a:cs typeface="Times New Roman"/>
            <a:sym typeface="Times New Roman"/>
          </a:endParaRPr>
        </a:p>
        <a:p>
          <a:pPr indent="0" lvl="0" marL="0" rtl="0" algn="just">
            <a:lnSpc>
              <a:spcPct val="115000"/>
            </a:lnSpc>
            <a:spcBef>
              <a:spcPts val="1200"/>
            </a:spcBef>
            <a:spcAft>
              <a:spcPts val="0"/>
            </a:spcAft>
            <a:buNone/>
          </a:pPr>
          <a:r>
            <a:rPr lang="en-US" sz="1400">
              <a:latin typeface="Times New Roman"/>
              <a:ea typeface="Times New Roman"/>
              <a:cs typeface="Times New Roman"/>
              <a:sym typeface="Times New Roman"/>
            </a:rPr>
            <a:t>Para los cuatro ángulos: 0°, 5°, 10° y 15°. Y cada uno de sus alcances (corto, mediano, largo), haremos lo siguiente:</a:t>
          </a:r>
          <a:endParaRPr sz="1400">
            <a:latin typeface="Times New Roman"/>
            <a:ea typeface="Times New Roman"/>
            <a:cs typeface="Times New Roman"/>
            <a:sym typeface="Times New Roman"/>
          </a:endParaRPr>
        </a:p>
        <a:p>
          <a:pPr indent="0" lvl="0" marL="0" rtl="0" algn="just">
            <a:lnSpc>
              <a:spcPct val="115000"/>
            </a:lnSpc>
            <a:spcBef>
              <a:spcPts val="1200"/>
            </a:spcBef>
            <a:spcAft>
              <a:spcPts val="0"/>
            </a:spcAft>
            <a:buNone/>
          </a:pPr>
          <a:r>
            <a:rPr lang="en-US" sz="1400">
              <a:latin typeface="Times New Roman"/>
              <a:ea typeface="Times New Roman"/>
              <a:cs typeface="Times New Roman"/>
              <a:sym typeface="Times New Roman"/>
            </a:rPr>
            <a:t>1. Verificamos que el lanzador se encuentre en el ángulo correspondiente.</a:t>
          </a:r>
          <a:endParaRPr sz="1400">
            <a:latin typeface="Times New Roman"/>
            <a:ea typeface="Times New Roman"/>
            <a:cs typeface="Times New Roman"/>
            <a:sym typeface="Times New Roman"/>
          </a:endParaRPr>
        </a:p>
        <a:p>
          <a:pPr indent="0" lvl="0" marL="0" rtl="0" algn="just">
            <a:lnSpc>
              <a:spcPct val="115000"/>
            </a:lnSpc>
            <a:spcBef>
              <a:spcPts val="1200"/>
            </a:spcBef>
            <a:spcAft>
              <a:spcPts val="0"/>
            </a:spcAft>
            <a:buNone/>
          </a:pPr>
          <a:r>
            <a:rPr lang="en-US" sz="1400">
              <a:latin typeface="Times New Roman"/>
              <a:ea typeface="Times New Roman"/>
              <a:cs typeface="Times New Roman"/>
              <a:sym typeface="Times New Roman"/>
            </a:rPr>
            <a:t>2. Realizamos un disparo como prueba inicial y ver dónde cae la esfera, para colocar la plataforma de medición en el sitio correcto.</a:t>
          </a:r>
          <a:endParaRPr sz="1400">
            <a:latin typeface="Times New Roman"/>
            <a:ea typeface="Times New Roman"/>
            <a:cs typeface="Times New Roman"/>
            <a:sym typeface="Times New Roman"/>
          </a:endParaRPr>
        </a:p>
        <a:p>
          <a:pPr indent="0" lvl="0" marL="0" rtl="0" algn="just">
            <a:lnSpc>
              <a:spcPct val="115000"/>
            </a:lnSpc>
            <a:spcBef>
              <a:spcPts val="1200"/>
            </a:spcBef>
            <a:spcAft>
              <a:spcPts val="0"/>
            </a:spcAft>
            <a:buNone/>
          </a:pPr>
          <a:r>
            <a:rPr lang="en-US" sz="1400">
              <a:latin typeface="Times New Roman"/>
              <a:ea typeface="Times New Roman"/>
              <a:cs typeface="Times New Roman"/>
              <a:sym typeface="Times New Roman"/>
            </a:rPr>
            <a:t>3. Una vez colocada la plataforma en el lugar correcto, usaremos el metro para medir el alcance máximo (distancia entre el lanzador y la plataforma) y la altura inicial (distancia entre el suelo y el lanzador).</a:t>
          </a:r>
          <a:endParaRPr sz="1400">
            <a:latin typeface="Times New Roman"/>
            <a:ea typeface="Times New Roman"/>
            <a:cs typeface="Times New Roman"/>
            <a:sym typeface="Times New Roman"/>
          </a:endParaRPr>
        </a:p>
        <a:p>
          <a:pPr indent="0" lvl="0" marL="0" rtl="0" algn="just">
            <a:lnSpc>
              <a:spcPct val="115000"/>
            </a:lnSpc>
            <a:spcBef>
              <a:spcPts val="1200"/>
            </a:spcBef>
            <a:spcAft>
              <a:spcPts val="0"/>
            </a:spcAft>
            <a:buNone/>
          </a:pPr>
          <a:r>
            <a:rPr lang="en-US" sz="1400">
              <a:latin typeface="Times New Roman"/>
              <a:ea typeface="Times New Roman"/>
              <a:cs typeface="Times New Roman"/>
              <a:sym typeface="Times New Roman"/>
            </a:rPr>
            <a:t>4. Cargamos el lanzador con la esfera, reiniciamos el smart time para medir el tiempo de vuelo (tiempo que transcurre desde que la esfera sale del lanzador hasta que toca la plataforma de medición) y anotamos el valor resultante en una tabla. Este procedimiento se hará diez veces consecutivas con cada uno de los ángulos y alcances mencionados anteriormente.  </a:t>
          </a:r>
          <a:endParaRPr sz="1400">
            <a:latin typeface="Times New Roman"/>
            <a:ea typeface="Times New Roman"/>
            <a:cs typeface="Times New Roman"/>
            <a:sym typeface="Times New Roman"/>
          </a:endParaRPr>
        </a:p>
        <a:p>
          <a:pPr indent="0" lvl="0" marL="0" rtl="0" algn="l">
            <a:spcBef>
              <a:spcPts val="1200"/>
            </a:spcBef>
            <a:spcAft>
              <a:spcPts val="0"/>
            </a:spcAft>
            <a:buNone/>
          </a:pPr>
          <a:r>
            <a:t/>
          </a:r>
          <a:endParaRPr sz="1400">
            <a:latin typeface="Times New Roman"/>
            <a:ea typeface="Times New Roman"/>
            <a:cs typeface="Times New Roman"/>
            <a:sym typeface="Times New Roman"/>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row>
    <row r="4">
      <c r="B4" s="1" t="s">
        <v>1</v>
      </c>
    </row>
    <row r="5">
      <c r="B5" s="1"/>
    </row>
    <row r="6">
      <c r="B6" s="1" t="s">
        <v>2</v>
      </c>
    </row>
    <row r="7">
      <c r="B7" s="1"/>
    </row>
    <row r="8">
      <c r="B8" s="1" t="s">
        <v>3</v>
      </c>
    </row>
    <row r="10">
      <c r="B10" s="1" t="s">
        <v>4</v>
      </c>
    </row>
    <row r="12">
      <c r="B12" s="1" t="s">
        <v>5</v>
      </c>
    </row>
    <row r="14">
      <c r="B14" s="1" t="s">
        <v>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5" max="5" width="14.75"/>
    <col customWidth="1" min="7" max="7" width="13.88"/>
    <col customWidth="1" min="8" max="8" width="13.38"/>
    <col customWidth="1" min="10" max="10" width="14.13"/>
    <col customWidth="1" min="12" max="12" width="15.25"/>
    <col customWidth="1" min="14" max="14" width="13.75"/>
    <col customWidth="1" min="15" max="15" width="14.13"/>
  </cols>
  <sheetData>
    <row r="1">
      <c r="B1" s="1"/>
      <c r="H1" s="2"/>
      <c r="I1" s="2"/>
      <c r="J1" s="2"/>
      <c r="K1" s="2"/>
      <c r="N1" s="2"/>
      <c r="O1" s="2"/>
      <c r="P1" s="2"/>
      <c r="Q1" s="2"/>
      <c r="T1" s="2"/>
      <c r="U1" s="2"/>
      <c r="V1" s="2"/>
      <c r="W1" s="2"/>
    </row>
    <row r="2">
      <c r="B2" s="3" t="s">
        <v>7</v>
      </c>
      <c r="C2" s="2"/>
      <c r="D2" s="2"/>
      <c r="E2" s="2"/>
      <c r="F2" s="2"/>
      <c r="H2" s="2"/>
      <c r="I2" s="2"/>
      <c r="J2" s="2"/>
      <c r="K2" s="2"/>
      <c r="N2" s="2"/>
      <c r="O2" s="2"/>
      <c r="P2" s="2"/>
      <c r="Q2" s="2"/>
      <c r="T2" s="2"/>
      <c r="U2" s="2"/>
      <c r="V2" s="2"/>
      <c r="W2" s="2"/>
    </row>
    <row r="3">
      <c r="B3" s="3"/>
      <c r="C3" s="2"/>
      <c r="D3" s="2"/>
      <c r="E3" s="2"/>
      <c r="F3" s="2"/>
      <c r="H3" s="2"/>
      <c r="I3" s="2"/>
      <c r="J3" s="2"/>
      <c r="K3" s="2"/>
      <c r="N3" s="2"/>
      <c r="O3" s="2"/>
      <c r="P3" s="2"/>
      <c r="Q3" s="2"/>
      <c r="T3" s="2"/>
      <c r="U3" s="2"/>
      <c r="V3" s="2"/>
      <c r="W3" s="2"/>
    </row>
    <row r="4">
      <c r="B4" s="4" t="s">
        <v>8</v>
      </c>
      <c r="H4" s="2"/>
      <c r="I4" s="2"/>
      <c r="J4" s="2"/>
      <c r="K4" s="2"/>
      <c r="N4" s="2"/>
      <c r="O4" s="2"/>
      <c r="P4" s="2"/>
      <c r="Q4" s="2"/>
      <c r="T4" s="2"/>
      <c r="U4" s="2"/>
      <c r="V4" s="2"/>
      <c r="W4" s="2"/>
    </row>
    <row r="5">
      <c r="H5" s="2"/>
      <c r="I5" s="2"/>
      <c r="J5" s="2"/>
      <c r="K5" s="2"/>
      <c r="N5" s="2"/>
      <c r="O5" s="2"/>
      <c r="P5" s="2"/>
      <c r="Q5" s="2"/>
      <c r="T5" s="2"/>
      <c r="U5" s="2"/>
      <c r="V5" s="2"/>
      <c r="W5" s="2"/>
    </row>
    <row r="6">
      <c r="B6" s="1"/>
      <c r="H6" s="2"/>
      <c r="I6" s="2"/>
      <c r="J6" s="2"/>
      <c r="K6" s="2"/>
      <c r="N6" s="2"/>
      <c r="O6" s="2"/>
      <c r="P6" s="2"/>
      <c r="Q6" s="2"/>
      <c r="T6" s="2"/>
      <c r="U6" s="2"/>
      <c r="V6" s="2"/>
      <c r="W6" s="2"/>
    </row>
    <row r="7">
      <c r="B7" s="5" t="s">
        <v>9</v>
      </c>
      <c r="C7" s="6" t="s">
        <v>10</v>
      </c>
      <c r="D7" s="6" t="s">
        <v>11</v>
      </c>
      <c r="E7" s="6" t="s">
        <v>12</v>
      </c>
      <c r="G7" s="7" t="s">
        <v>13</v>
      </c>
      <c r="H7" s="6" t="s">
        <v>10</v>
      </c>
      <c r="I7" s="6" t="s">
        <v>11</v>
      </c>
      <c r="J7" s="6" t="s">
        <v>12</v>
      </c>
      <c r="L7" s="6" t="s">
        <v>14</v>
      </c>
    </row>
    <row r="8">
      <c r="B8" s="8" t="s">
        <v>15</v>
      </c>
      <c r="C8" s="9"/>
      <c r="D8" s="9"/>
      <c r="E8" s="9"/>
      <c r="G8" s="9"/>
      <c r="H8" s="9"/>
      <c r="I8" s="9"/>
      <c r="J8" s="9"/>
      <c r="L8" s="9"/>
    </row>
    <row r="9">
      <c r="B9" s="8" t="s">
        <v>13</v>
      </c>
      <c r="C9" s="10"/>
      <c r="D9" s="10"/>
      <c r="E9" s="10"/>
      <c r="G9" s="10"/>
      <c r="H9" s="10"/>
      <c r="I9" s="10"/>
      <c r="J9" s="10"/>
      <c r="L9" s="10"/>
    </row>
    <row r="10">
      <c r="B10" s="11">
        <v>1.0</v>
      </c>
      <c r="C10" s="12">
        <v>0.4389</v>
      </c>
      <c r="D10" s="13">
        <v>147.0</v>
      </c>
      <c r="E10" s="13">
        <v>100.0</v>
      </c>
      <c r="G10" s="6" t="s">
        <v>16</v>
      </c>
      <c r="H10" s="14">
        <f>AVERAGE(C10:C19)</f>
        <v>0.44802</v>
      </c>
      <c r="I10" s="15">
        <f t="shared" ref="I10:J10" si="1">AVERAGE(D10)</f>
        <v>147</v>
      </c>
      <c r="J10" s="16">
        <f t="shared" si="1"/>
        <v>100</v>
      </c>
      <c r="L10" s="17">
        <f>CONVERT((2*J10)/(POWER(H10,2)),"cm","m")</f>
        <v>9.964033804</v>
      </c>
    </row>
    <row r="11">
      <c r="B11" s="11">
        <v>2.0</v>
      </c>
      <c r="C11" s="12">
        <v>0.4462</v>
      </c>
      <c r="D11" s="9"/>
      <c r="E11" s="9"/>
      <c r="G11" s="9"/>
      <c r="H11" s="18"/>
      <c r="I11" s="9"/>
      <c r="J11" s="19"/>
      <c r="L11" s="9"/>
    </row>
    <row r="12">
      <c r="B12" s="11">
        <v>3.0</v>
      </c>
      <c r="C12" s="12">
        <v>0.4462</v>
      </c>
      <c r="D12" s="9"/>
      <c r="E12" s="9"/>
      <c r="G12" s="10"/>
      <c r="H12" s="20"/>
      <c r="I12" s="10"/>
      <c r="J12" s="21"/>
      <c r="L12" s="10"/>
    </row>
    <row r="13">
      <c r="B13" s="11">
        <v>4.0</v>
      </c>
      <c r="C13" s="12">
        <v>0.4513</v>
      </c>
      <c r="D13" s="9"/>
      <c r="E13" s="9"/>
      <c r="I13" s="22"/>
      <c r="J13" s="22"/>
    </row>
    <row r="14">
      <c r="B14" s="11">
        <v>5.0</v>
      </c>
      <c r="C14" s="12">
        <v>0.4491</v>
      </c>
      <c r="D14" s="9"/>
      <c r="E14" s="9"/>
    </row>
    <row r="15">
      <c r="B15" s="11">
        <v>6.0</v>
      </c>
      <c r="C15" s="12">
        <v>0.4532</v>
      </c>
      <c r="D15" s="9"/>
      <c r="E15" s="9"/>
    </row>
    <row r="16">
      <c r="B16" s="11">
        <v>7.0</v>
      </c>
      <c r="C16" s="12">
        <v>0.4504</v>
      </c>
      <c r="D16" s="9"/>
      <c r="E16" s="9"/>
    </row>
    <row r="17">
      <c r="B17" s="11">
        <v>8.0</v>
      </c>
      <c r="C17" s="12">
        <v>0.449</v>
      </c>
      <c r="D17" s="9"/>
      <c r="E17" s="9"/>
    </row>
    <row r="18">
      <c r="B18" s="11">
        <v>9.0</v>
      </c>
      <c r="C18" s="12">
        <v>0.4529</v>
      </c>
      <c r="D18" s="9"/>
      <c r="E18" s="9"/>
    </row>
    <row r="19">
      <c r="B19" s="11">
        <v>10.0</v>
      </c>
      <c r="C19" s="12">
        <v>0.443</v>
      </c>
      <c r="D19" s="10"/>
      <c r="E19" s="10"/>
    </row>
    <row r="20">
      <c r="B20" s="23" t="s">
        <v>17</v>
      </c>
      <c r="C20" s="24" t="s">
        <v>10</v>
      </c>
      <c r="D20" s="24" t="s">
        <v>11</v>
      </c>
      <c r="E20" s="24" t="s">
        <v>12</v>
      </c>
      <c r="G20" s="25" t="s">
        <v>17</v>
      </c>
      <c r="H20" s="6" t="s">
        <v>10</v>
      </c>
      <c r="I20" s="6" t="s">
        <v>11</v>
      </c>
      <c r="J20" s="6" t="s">
        <v>12</v>
      </c>
      <c r="L20" s="6" t="s">
        <v>14</v>
      </c>
    </row>
    <row r="21">
      <c r="B21" s="26">
        <v>1.0</v>
      </c>
      <c r="C21" s="27">
        <v>0.4396</v>
      </c>
      <c r="D21" s="13">
        <v>222.0</v>
      </c>
      <c r="E21" s="13">
        <v>100.0</v>
      </c>
      <c r="G21" s="9"/>
      <c r="H21" s="9"/>
      <c r="I21" s="9"/>
      <c r="J21" s="9"/>
      <c r="L21" s="9"/>
    </row>
    <row r="22">
      <c r="B22" s="26">
        <v>2.0</v>
      </c>
      <c r="C22" s="27">
        <v>0.4413</v>
      </c>
      <c r="D22" s="9"/>
      <c r="E22" s="9"/>
      <c r="G22" s="10"/>
      <c r="H22" s="10"/>
      <c r="I22" s="10"/>
      <c r="J22" s="10"/>
      <c r="L22" s="10"/>
    </row>
    <row r="23">
      <c r="B23" s="26">
        <v>3.0</v>
      </c>
      <c r="C23" s="28">
        <v>0.441</v>
      </c>
      <c r="D23" s="9"/>
      <c r="E23" s="9"/>
      <c r="G23" s="6" t="s">
        <v>16</v>
      </c>
      <c r="H23" s="29">
        <f>AVERAGE(C21:C30)</f>
        <v>0.44151</v>
      </c>
      <c r="I23" s="15">
        <f t="shared" ref="I23:J23" si="2">AVERAGE(D21)</f>
        <v>222</v>
      </c>
      <c r="J23" s="16">
        <f t="shared" si="2"/>
        <v>100</v>
      </c>
      <c r="L23" s="17">
        <f>CONVERT((2*J23)/(POWER(H23,2)),"cm","m")</f>
        <v>10.26003652</v>
      </c>
    </row>
    <row r="24">
      <c r="B24" s="26">
        <v>4.0</v>
      </c>
      <c r="C24" s="27">
        <v>0.4384</v>
      </c>
      <c r="D24" s="9"/>
      <c r="E24" s="9"/>
      <c r="G24" s="9"/>
      <c r="H24" s="18"/>
      <c r="I24" s="9"/>
      <c r="J24" s="19"/>
      <c r="L24" s="9"/>
    </row>
    <row r="25">
      <c r="B25" s="26">
        <v>5.0</v>
      </c>
      <c r="C25" s="27">
        <v>0.4424</v>
      </c>
      <c r="D25" s="9"/>
      <c r="E25" s="9"/>
      <c r="G25" s="10"/>
      <c r="H25" s="20"/>
      <c r="I25" s="10"/>
      <c r="J25" s="21"/>
      <c r="L25" s="10"/>
    </row>
    <row r="26">
      <c r="B26" s="26">
        <v>6.0</v>
      </c>
      <c r="C26" s="27">
        <v>0.4414</v>
      </c>
      <c r="D26" s="9"/>
      <c r="E26" s="9"/>
    </row>
    <row r="27">
      <c r="B27" s="26">
        <v>7.0</v>
      </c>
      <c r="C27" s="27">
        <v>0.4445</v>
      </c>
      <c r="D27" s="9"/>
      <c r="E27" s="9"/>
    </row>
    <row r="28">
      <c r="B28" s="26">
        <v>8.0</v>
      </c>
      <c r="C28" s="28">
        <v>0.444</v>
      </c>
      <c r="D28" s="9"/>
      <c r="E28" s="9"/>
    </row>
    <row r="29">
      <c r="B29" s="26">
        <v>9.0</v>
      </c>
      <c r="C29" s="27">
        <v>0.4402</v>
      </c>
      <c r="D29" s="9"/>
      <c r="E29" s="9"/>
    </row>
    <row r="30">
      <c r="B30" s="26">
        <v>10.0</v>
      </c>
      <c r="C30" s="27">
        <v>0.4423</v>
      </c>
      <c r="D30" s="10"/>
      <c r="E30" s="10"/>
    </row>
    <row r="31">
      <c r="B31" s="24" t="s">
        <v>18</v>
      </c>
      <c r="C31" s="24" t="s">
        <v>10</v>
      </c>
      <c r="D31" s="24" t="s">
        <v>11</v>
      </c>
      <c r="E31" s="24" t="s">
        <v>12</v>
      </c>
      <c r="G31" s="6" t="s">
        <v>18</v>
      </c>
      <c r="H31" s="6" t="s">
        <v>10</v>
      </c>
      <c r="I31" s="6" t="s">
        <v>11</v>
      </c>
      <c r="J31" s="6" t="s">
        <v>12</v>
      </c>
      <c r="L31" s="6" t="s">
        <v>14</v>
      </c>
    </row>
    <row r="32">
      <c r="B32" s="11">
        <v>1.0</v>
      </c>
      <c r="C32" s="30">
        <v>0.4424</v>
      </c>
      <c r="D32" s="13">
        <v>292.0</v>
      </c>
      <c r="E32" s="13">
        <v>100.0</v>
      </c>
      <c r="G32" s="9"/>
      <c r="H32" s="9"/>
      <c r="I32" s="9"/>
      <c r="J32" s="9"/>
      <c r="L32" s="9"/>
    </row>
    <row r="33">
      <c r="B33" s="11">
        <v>2.0</v>
      </c>
      <c r="C33" s="30">
        <v>0.4409</v>
      </c>
      <c r="D33" s="9"/>
      <c r="E33" s="9"/>
      <c r="G33" s="10"/>
      <c r="H33" s="10"/>
      <c r="I33" s="10"/>
      <c r="J33" s="10"/>
      <c r="L33" s="10"/>
    </row>
    <row r="34">
      <c r="B34" s="11">
        <v>3.0</v>
      </c>
      <c r="C34" s="30">
        <v>0.4466</v>
      </c>
      <c r="D34" s="9"/>
      <c r="E34" s="9"/>
      <c r="G34" s="6" t="s">
        <v>16</v>
      </c>
      <c r="H34" s="31">
        <f>AVERAGE(C32:C41)</f>
        <v>0.45171</v>
      </c>
      <c r="I34" s="15">
        <f>AVERAGE(D32:D38)</f>
        <v>298</v>
      </c>
      <c r="J34" s="16">
        <f>AVERAGE(E32)</f>
        <v>100</v>
      </c>
      <c r="L34" s="17">
        <f>CONVERT((2*J34)/(POWER(H34,2)),"cm","m")</f>
        <v>9.801907176</v>
      </c>
    </row>
    <row r="35">
      <c r="B35" s="11">
        <v>4.0</v>
      </c>
      <c r="C35" s="30">
        <v>0.4399</v>
      </c>
      <c r="D35" s="9"/>
      <c r="E35" s="9"/>
      <c r="G35" s="9"/>
      <c r="H35" s="18"/>
      <c r="I35" s="9"/>
      <c r="J35" s="19"/>
      <c r="L35" s="9"/>
    </row>
    <row r="36">
      <c r="B36" s="11">
        <v>5.0</v>
      </c>
      <c r="C36" s="30">
        <v>0.4668</v>
      </c>
      <c r="D36" s="9"/>
      <c r="E36" s="9"/>
      <c r="G36" s="10"/>
      <c r="H36" s="20"/>
      <c r="I36" s="10"/>
      <c r="J36" s="21"/>
      <c r="L36" s="10"/>
    </row>
    <row r="37">
      <c r="B37" s="11">
        <v>6.0</v>
      </c>
      <c r="C37" s="30">
        <v>0.4561</v>
      </c>
      <c r="D37" s="10"/>
      <c r="E37" s="9"/>
    </row>
    <row r="38">
      <c r="B38" s="11">
        <v>7.0</v>
      </c>
      <c r="C38" s="30">
        <v>0.4493</v>
      </c>
      <c r="D38" s="13">
        <v>304.0</v>
      </c>
      <c r="E38" s="9"/>
    </row>
    <row r="39">
      <c r="B39" s="11">
        <v>8.0</v>
      </c>
      <c r="C39" s="30">
        <v>0.4564</v>
      </c>
      <c r="D39" s="9"/>
      <c r="E39" s="9"/>
    </row>
    <row r="40">
      <c r="B40" s="11">
        <v>9.0</v>
      </c>
      <c r="C40" s="30">
        <v>0.4596</v>
      </c>
      <c r="D40" s="9"/>
      <c r="E40" s="9"/>
    </row>
    <row r="41">
      <c r="B41" s="11">
        <v>10.0</v>
      </c>
      <c r="C41" s="30">
        <v>0.4591</v>
      </c>
      <c r="D41" s="10"/>
      <c r="E41" s="10"/>
    </row>
    <row r="44">
      <c r="B44" s="32" t="s">
        <v>19</v>
      </c>
    </row>
    <row r="47">
      <c r="B47" s="2"/>
      <c r="C47" s="2"/>
      <c r="D47" s="2"/>
      <c r="E47" s="2"/>
      <c r="F47" s="2"/>
    </row>
    <row r="48">
      <c r="B48" s="2" t="s">
        <v>20</v>
      </c>
      <c r="C48" s="2"/>
      <c r="D48" s="2"/>
      <c r="E48" s="2"/>
      <c r="F48" s="2"/>
      <c r="H48" s="2"/>
    </row>
    <row r="49">
      <c r="N49" s="2"/>
    </row>
    <row r="50">
      <c r="B50" s="24" t="s">
        <v>21</v>
      </c>
      <c r="C50" s="6" t="s">
        <v>10</v>
      </c>
      <c r="D50" s="6" t="s">
        <v>11</v>
      </c>
      <c r="E50" s="6" t="s">
        <v>12</v>
      </c>
      <c r="G50" s="7" t="s">
        <v>13</v>
      </c>
      <c r="H50" s="6" t="s">
        <v>10</v>
      </c>
      <c r="I50" s="6" t="s">
        <v>11</v>
      </c>
      <c r="J50" s="6" t="s">
        <v>12</v>
      </c>
    </row>
    <row r="51">
      <c r="B51" s="33" t="s">
        <v>15</v>
      </c>
      <c r="C51" s="9"/>
      <c r="D51" s="9"/>
      <c r="E51" s="9"/>
      <c r="G51" s="9"/>
      <c r="H51" s="9"/>
      <c r="I51" s="9"/>
      <c r="J51" s="9"/>
    </row>
    <row r="52">
      <c r="B52" s="8" t="s">
        <v>13</v>
      </c>
      <c r="C52" s="10"/>
      <c r="D52" s="10"/>
      <c r="E52" s="10"/>
      <c r="G52" s="10"/>
      <c r="H52" s="10"/>
      <c r="I52" s="10"/>
      <c r="J52" s="10"/>
    </row>
    <row r="53">
      <c r="B53" s="26">
        <v>1.0</v>
      </c>
      <c r="C53" s="28">
        <v>0.472</v>
      </c>
      <c r="D53" s="13">
        <v>152.0</v>
      </c>
      <c r="E53" s="13">
        <v>100.5</v>
      </c>
      <c r="G53" s="6" t="s">
        <v>16</v>
      </c>
      <c r="H53" s="34">
        <f>AVERAGE(C53:C62)</f>
        <v>0.47584</v>
      </c>
      <c r="I53" s="15">
        <f t="shared" ref="I53:J53" si="3">AVERAGE(D53)</f>
        <v>152</v>
      </c>
      <c r="J53" s="16">
        <f t="shared" si="3"/>
        <v>100.5</v>
      </c>
    </row>
    <row r="54">
      <c r="B54" s="26">
        <v>2.0</v>
      </c>
      <c r="C54" s="27">
        <v>0.4773</v>
      </c>
      <c r="D54" s="9"/>
      <c r="E54" s="9"/>
      <c r="G54" s="9"/>
      <c r="H54" s="18"/>
      <c r="I54" s="9"/>
      <c r="J54" s="19"/>
    </row>
    <row r="55">
      <c r="B55" s="26">
        <v>3.0</v>
      </c>
      <c r="C55" s="27">
        <v>0.4773</v>
      </c>
      <c r="D55" s="9"/>
      <c r="E55" s="9"/>
      <c r="G55" s="10"/>
      <c r="H55" s="20"/>
      <c r="I55" s="10"/>
      <c r="J55" s="21"/>
    </row>
    <row r="56">
      <c r="B56" s="26">
        <v>4.0</v>
      </c>
      <c r="C56" s="27">
        <v>0.4723</v>
      </c>
      <c r="D56" s="9"/>
      <c r="E56" s="9"/>
    </row>
    <row r="57">
      <c r="B57" s="26">
        <v>5.0</v>
      </c>
      <c r="C57" s="27">
        <v>0.4749</v>
      </c>
      <c r="D57" s="9"/>
      <c r="E57" s="9"/>
    </row>
    <row r="58">
      <c r="B58" s="26">
        <v>6.0</v>
      </c>
      <c r="C58" s="27">
        <v>0.4769</v>
      </c>
      <c r="D58" s="9"/>
      <c r="E58" s="9"/>
    </row>
    <row r="59">
      <c r="B59" s="26">
        <v>7.0</v>
      </c>
      <c r="C59" s="27">
        <v>0.4787</v>
      </c>
      <c r="D59" s="9"/>
      <c r="E59" s="9"/>
    </row>
    <row r="60">
      <c r="B60" s="26">
        <v>8.0</v>
      </c>
      <c r="C60" s="27">
        <v>0.4748</v>
      </c>
      <c r="D60" s="9"/>
      <c r="E60" s="9"/>
    </row>
    <row r="61">
      <c r="B61" s="26">
        <v>9.0</v>
      </c>
      <c r="C61" s="27">
        <v>0.4764</v>
      </c>
      <c r="D61" s="9"/>
      <c r="E61" s="9"/>
    </row>
    <row r="62">
      <c r="B62" s="26">
        <v>10.0</v>
      </c>
      <c r="C62" s="27">
        <v>0.4778</v>
      </c>
      <c r="D62" s="10"/>
      <c r="E62" s="10"/>
    </row>
    <row r="63">
      <c r="B63" s="23" t="s">
        <v>17</v>
      </c>
      <c r="C63" s="24" t="s">
        <v>10</v>
      </c>
      <c r="D63" s="24" t="s">
        <v>11</v>
      </c>
      <c r="E63" s="24" t="s">
        <v>12</v>
      </c>
    </row>
    <row r="64">
      <c r="B64" s="26">
        <v>1.0</v>
      </c>
      <c r="C64" s="27">
        <v>0.4905</v>
      </c>
      <c r="D64" s="13">
        <v>247.0</v>
      </c>
      <c r="E64" s="13">
        <v>100.5</v>
      </c>
    </row>
    <row r="65">
      <c r="B65" s="26">
        <v>2.0</v>
      </c>
      <c r="C65" s="27">
        <v>0.4853</v>
      </c>
      <c r="D65" s="9"/>
      <c r="E65" s="9"/>
    </row>
    <row r="66">
      <c r="B66" s="26">
        <v>3.0</v>
      </c>
      <c r="C66" s="27">
        <v>0.4982</v>
      </c>
      <c r="D66" s="9"/>
      <c r="E66" s="9"/>
    </row>
    <row r="67">
      <c r="B67" s="26">
        <v>4.0</v>
      </c>
      <c r="C67" s="27">
        <v>0.4926</v>
      </c>
      <c r="D67" s="9"/>
      <c r="E67" s="9"/>
    </row>
    <row r="68">
      <c r="B68" s="26">
        <v>5.0</v>
      </c>
      <c r="C68" s="27">
        <v>0.4968</v>
      </c>
      <c r="D68" s="9"/>
      <c r="E68" s="9"/>
    </row>
    <row r="69">
      <c r="B69" s="26">
        <v>6.0</v>
      </c>
      <c r="C69" s="27">
        <v>0.4947</v>
      </c>
      <c r="D69" s="9"/>
      <c r="E69" s="9"/>
    </row>
    <row r="70">
      <c r="B70" s="26">
        <v>7.0</v>
      </c>
      <c r="C70" s="27">
        <v>0.4994</v>
      </c>
      <c r="D70" s="9"/>
      <c r="E70" s="9"/>
    </row>
    <row r="71">
      <c r="B71" s="26">
        <v>8.0</v>
      </c>
      <c r="C71" s="27">
        <v>0.4956</v>
      </c>
      <c r="D71" s="9"/>
      <c r="E71" s="9"/>
    </row>
    <row r="72">
      <c r="B72" s="26">
        <v>9.0</v>
      </c>
      <c r="C72" s="27">
        <v>0.4969</v>
      </c>
      <c r="D72" s="9"/>
      <c r="E72" s="9"/>
    </row>
    <row r="73">
      <c r="B73" s="26">
        <v>10.0</v>
      </c>
      <c r="C73" s="27">
        <v>0.5018</v>
      </c>
      <c r="D73" s="10"/>
      <c r="E73" s="10"/>
    </row>
    <row r="74">
      <c r="B74" s="24" t="s">
        <v>18</v>
      </c>
      <c r="C74" s="24" t="s">
        <v>10</v>
      </c>
      <c r="D74" s="24" t="s">
        <v>11</v>
      </c>
      <c r="E74" s="24" t="s">
        <v>12</v>
      </c>
    </row>
    <row r="75">
      <c r="B75" s="35" t="s">
        <v>22</v>
      </c>
      <c r="C75" s="36"/>
      <c r="D75" s="36"/>
      <c r="E75" s="37"/>
      <c r="K75" s="38"/>
    </row>
    <row r="78">
      <c r="B78" s="24" t="s">
        <v>23</v>
      </c>
      <c r="C78" s="6" t="s">
        <v>10</v>
      </c>
      <c r="D78" s="6" t="s">
        <v>11</v>
      </c>
      <c r="E78" s="6" t="s">
        <v>12</v>
      </c>
    </row>
    <row r="79">
      <c r="B79" s="33" t="s">
        <v>15</v>
      </c>
      <c r="C79" s="9"/>
      <c r="D79" s="9"/>
      <c r="E79" s="9"/>
    </row>
    <row r="80">
      <c r="B80" s="8" t="s">
        <v>13</v>
      </c>
      <c r="C80" s="10"/>
      <c r="D80" s="10"/>
      <c r="E80" s="10"/>
    </row>
    <row r="81">
      <c r="B81" s="39">
        <v>1.0</v>
      </c>
      <c r="C81" s="40">
        <v>0.5072</v>
      </c>
      <c r="D81" s="41">
        <v>161.0</v>
      </c>
      <c r="E81" s="41">
        <v>101.5</v>
      </c>
    </row>
    <row r="82">
      <c r="B82" s="39">
        <v>2.0</v>
      </c>
      <c r="C82" s="40">
        <v>0.4995</v>
      </c>
      <c r="D82" s="9"/>
      <c r="E82" s="9"/>
    </row>
    <row r="83">
      <c r="B83" s="39">
        <v>3.0</v>
      </c>
      <c r="C83" s="40">
        <v>0.5087</v>
      </c>
      <c r="D83" s="9"/>
      <c r="E83" s="9"/>
    </row>
    <row r="84">
      <c r="B84" s="39">
        <v>4.0</v>
      </c>
      <c r="C84" s="40">
        <v>0.5068</v>
      </c>
      <c r="D84" s="9"/>
      <c r="E84" s="9"/>
    </row>
    <row r="85">
      <c r="B85" s="39">
        <v>5.0</v>
      </c>
      <c r="C85" s="40">
        <v>0.5078</v>
      </c>
      <c r="D85" s="9"/>
      <c r="E85" s="9"/>
    </row>
    <row r="86">
      <c r="B86" s="39">
        <v>6.0</v>
      </c>
      <c r="C86" s="40">
        <v>0.5089</v>
      </c>
      <c r="D86" s="9"/>
      <c r="E86" s="9"/>
    </row>
    <row r="87">
      <c r="B87" s="39">
        <v>7.0</v>
      </c>
      <c r="C87" s="40">
        <v>0.5101</v>
      </c>
      <c r="D87" s="9"/>
      <c r="E87" s="9"/>
    </row>
    <row r="88">
      <c r="B88" s="39">
        <v>8.0</v>
      </c>
      <c r="C88" s="40">
        <v>0.5108</v>
      </c>
      <c r="D88" s="9"/>
      <c r="E88" s="9"/>
    </row>
    <row r="89">
      <c r="B89" s="39">
        <v>9.0</v>
      </c>
      <c r="C89" s="40">
        <v>0.5112</v>
      </c>
      <c r="D89" s="9"/>
      <c r="E89" s="9"/>
    </row>
    <row r="90">
      <c r="B90" s="39">
        <v>10.0</v>
      </c>
      <c r="C90" s="40">
        <v>0.5049</v>
      </c>
      <c r="D90" s="10"/>
      <c r="E90" s="10"/>
    </row>
    <row r="91">
      <c r="B91" s="23" t="s">
        <v>17</v>
      </c>
      <c r="C91" s="24" t="s">
        <v>10</v>
      </c>
      <c r="D91" s="24" t="s">
        <v>11</v>
      </c>
      <c r="E91" s="24" t="s">
        <v>12</v>
      </c>
    </row>
    <row r="92">
      <c r="B92" s="39">
        <v>1.0</v>
      </c>
      <c r="C92" s="40">
        <v>0.5471</v>
      </c>
      <c r="D92" s="41">
        <v>272.0</v>
      </c>
      <c r="E92" s="41">
        <v>101.5</v>
      </c>
    </row>
    <row r="93">
      <c r="B93" s="39">
        <v>2.0</v>
      </c>
      <c r="C93" s="40">
        <v>0.5472</v>
      </c>
      <c r="D93" s="9"/>
      <c r="E93" s="9"/>
    </row>
    <row r="94">
      <c r="B94" s="39">
        <v>3.0</v>
      </c>
      <c r="C94" s="42">
        <v>0.539</v>
      </c>
      <c r="D94" s="9"/>
      <c r="E94" s="9"/>
    </row>
    <row r="95">
      <c r="B95" s="39">
        <v>4.0</v>
      </c>
      <c r="C95" s="40">
        <v>0.5485</v>
      </c>
      <c r="D95" s="9"/>
      <c r="E95" s="9"/>
    </row>
    <row r="96">
      <c r="B96" s="39">
        <v>5.0</v>
      </c>
      <c r="C96" s="40">
        <v>0.5518</v>
      </c>
      <c r="D96" s="9"/>
      <c r="E96" s="9"/>
    </row>
    <row r="97">
      <c r="B97" s="39">
        <v>6.0</v>
      </c>
      <c r="C97" s="40">
        <v>0.5483</v>
      </c>
      <c r="D97" s="9"/>
      <c r="E97" s="9"/>
    </row>
    <row r="98">
      <c r="B98" s="39">
        <v>7.0</v>
      </c>
      <c r="C98" s="40">
        <v>0.5504</v>
      </c>
      <c r="D98" s="9"/>
      <c r="E98" s="9"/>
    </row>
    <row r="99">
      <c r="B99" s="39">
        <v>8.0</v>
      </c>
      <c r="C99" s="42">
        <v>0.552</v>
      </c>
      <c r="D99" s="9"/>
      <c r="E99" s="9"/>
    </row>
    <row r="100">
      <c r="B100" s="39">
        <v>9.0</v>
      </c>
      <c r="C100" s="40">
        <v>0.5585</v>
      </c>
      <c r="D100" s="9"/>
      <c r="E100" s="9"/>
    </row>
    <row r="101">
      <c r="B101" s="39">
        <v>10.0</v>
      </c>
      <c r="C101" s="40">
        <v>0.5512</v>
      </c>
      <c r="D101" s="10"/>
      <c r="E101" s="10"/>
    </row>
    <row r="102">
      <c r="B102" s="24" t="s">
        <v>18</v>
      </c>
      <c r="C102" s="24" t="s">
        <v>10</v>
      </c>
      <c r="D102" s="24" t="s">
        <v>11</v>
      </c>
      <c r="E102" s="24" t="s">
        <v>12</v>
      </c>
    </row>
    <row r="103">
      <c r="B103" s="43" t="s">
        <v>24</v>
      </c>
      <c r="C103" s="36"/>
      <c r="D103" s="36"/>
      <c r="E103" s="37"/>
    </row>
    <row r="106">
      <c r="B106" s="24" t="s">
        <v>25</v>
      </c>
      <c r="C106" s="6" t="s">
        <v>10</v>
      </c>
      <c r="D106" s="6" t="s">
        <v>11</v>
      </c>
      <c r="E106" s="6" t="s">
        <v>12</v>
      </c>
    </row>
    <row r="107">
      <c r="B107" s="33" t="s">
        <v>15</v>
      </c>
      <c r="C107" s="9"/>
      <c r="D107" s="9"/>
      <c r="E107" s="9"/>
    </row>
    <row r="108">
      <c r="B108" s="8" t="s">
        <v>13</v>
      </c>
      <c r="C108" s="10"/>
      <c r="D108" s="10"/>
      <c r="E108" s="10"/>
    </row>
    <row r="109">
      <c r="B109" s="39">
        <v>1.0</v>
      </c>
      <c r="C109" s="40">
        <v>0.5433</v>
      </c>
      <c r="D109" s="41">
        <v>170.0</v>
      </c>
      <c r="E109" s="41">
        <v>101.5</v>
      </c>
    </row>
    <row r="110">
      <c r="B110" s="39">
        <v>2.0</v>
      </c>
      <c r="C110" s="40">
        <v>0.5295</v>
      </c>
      <c r="D110" s="9"/>
      <c r="E110" s="9"/>
    </row>
    <row r="111">
      <c r="B111" s="39">
        <v>3.0</v>
      </c>
      <c r="C111" s="40">
        <v>0.5332</v>
      </c>
      <c r="D111" s="9"/>
      <c r="E111" s="9"/>
    </row>
    <row r="112">
      <c r="B112" s="39">
        <v>4.0</v>
      </c>
      <c r="C112" s="40">
        <v>0.5337</v>
      </c>
      <c r="D112" s="9"/>
      <c r="E112" s="9"/>
    </row>
    <row r="113">
      <c r="B113" s="39">
        <v>5.0</v>
      </c>
      <c r="C113" s="40">
        <v>0.5336</v>
      </c>
      <c r="D113" s="9"/>
      <c r="E113" s="9"/>
    </row>
    <row r="114">
      <c r="B114" s="39">
        <v>6.0</v>
      </c>
      <c r="C114" s="40">
        <v>0.5365</v>
      </c>
      <c r="D114" s="9"/>
      <c r="E114" s="9"/>
    </row>
    <row r="115">
      <c r="B115" s="39">
        <v>7.0</v>
      </c>
      <c r="C115" s="40">
        <v>0.5312</v>
      </c>
      <c r="D115" s="9"/>
      <c r="E115" s="9"/>
    </row>
    <row r="116">
      <c r="B116" s="39">
        <v>8.0</v>
      </c>
      <c r="C116" s="40">
        <v>0.5358</v>
      </c>
      <c r="D116" s="9"/>
      <c r="E116" s="9"/>
    </row>
    <row r="117">
      <c r="B117" s="39">
        <v>9.0</v>
      </c>
      <c r="C117" s="40">
        <v>0.5324</v>
      </c>
      <c r="D117" s="9"/>
      <c r="E117" s="9"/>
    </row>
    <row r="118">
      <c r="B118" s="39">
        <v>10.0</v>
      </c>
      <c r="C118" s="42">
        <v>0.534</v>
      </c>
      <c r="D118" s="10"/>
      <c r="E118" s="10"/>
    </row>
    <row r="119">
      <c r="B119" s="23" t="s">
        <v>17</v>
      </c>
      <c r="C119" s="24" t="s">
        <v>10</v>
      </c>
      <c r="D119" s="24" t="s">
        <v>11</v>
      </c>
      <c r="E119" s="24" t="s">
        <v>12</v>
      </c>
    </row>
    <row r="120">
      <c r="B120" s="39">
        <v>1.0</v>
      </c>
      <c r="C120" s="42">
        <v>0.6045</v>
      </c>
      <c r="D120" s="41">
        <v>287.0</v>
      </c>
      <c r="E120" s="41">
        <v>101.5</v>
      </c>
    </row>
    <row r="121">
      <c r="B121" s="39">
        <v>2.0</v>
      </c>
      <c r="C121" s="42">
        <v>0.6044</v>
      </c>
      <c r="D121" s="9"/>
      <c r="E121" s="9"/>
    </row>
    <row r="122">
      <c r="B122" s="39">
        <v>3.0</v>
      </c>
      <c r="C122" s="42">
        <v>0.603</v>
      </c>
      <c r="D122" s="9"/>
      <c r="E122" s="9"/>
    </row>
    <row r="123">
      <c r="B123" s="39">
        <v>4.0</v>
      </c>
      <c r="C123" s="42">
        <v>0.6003</v>
      </c>
      <c r="D123" s="9"/>
      <c r="E123" s="9"/>
    </row>
    <row r="124">
      <c r="B124" s="39">
        <v>5.0</v>
      </c>
      <c r="C124" s="42">
        <v>0.5963</v>
      </c>
      <c r="D124" s="9"/>
      <c r="E124" s="9"/>
    </row>
    <row r="125">
      <c r="B125" s="39">
        <v>6.0</v>
      </c>
      <c r="C125" s="42">
        <v>0.599</v>
      </c>
      <c r="D125" s="9"/>
      <c r="E125" s="9"/>
    </row>
    <row r="126">
      <c r="B126" s="39">
        <v>7.0</v>
      </c>
      <c r="C126" s="42">
        <v>0.6015</v>
      </c>
      <c r="D126" s="9"/>
      <c r="E126" s="9"/>
    </row>
    <row r="127">
      <c r="B127" s="39">
        <v>8.0</v>
      </c>
      <c r="C127" s="42">
        <v>0.6015</v>
      </c>
      <c r="D127" s="9"/>
      <c r="E127" s="9"/>
    </row>
    <row r="128">
      <c r="B128" s="39">
        <v>9.0</v>
      </c>
      <c r="C128" s="42">
        <v>0.6008</v>
      </c>
      <c r="D128" s="9"/>
      <c r="E128" s="9"/>
    </row>
    <row r="129">
      <c r="B129" s="39">
        <v>10.0</v>
      </c>
      <c r="C129" s="42">
        <v>0.6042</v>
      </c>
      <c r="D129" s="10"/>
      <c r="E129" s="10"/>
    </row>
    <row r="130">
      <c r="B130" s="24" t="s">
        <v>18</v>
      </c>
      <c r="C130" s="24" t="s">
        <v>10</v>
      </c>
      <c r="D130" s="24" t="s">
        <v>11</v>
      </c>
      <c r="E130" s="24" t="s">
        <v>12</v>
      </c>
    </row>
    <row r="131">
      <c r="B131" s="43" t="s">
        <v>24</v>
      </c>
      <c r="C131" s="36"/>
      <c r="D131" s="36"/>
      <c r="E131" s="37"/>
    </row>
  </sheetData>
  <mergeCells count="74">
    <mergeCell ref="H34:H36"/>
    <mergeCell ref="I34:I36"/>
    <mergeCell ref="G23:G25"/>
    <mergeCell ref="J23:J25"/>
    <mergeCell ref="H31:H33"/>
    <mergeCell ref="I31:I33"/>
    <mergeCell ref="J31:J33"/>
    <mergeCell ref="H10:H12"/>
    <mergeCell ref="H20:H22"/>
    <mergeCell ref="I20:I22"/>
    <mergeCell ref="J20:J22"/>
    <mergeCell ref="G20:G22"/>
    <mergeCell ref="H23:H25"/>
    <mergeCell ref="I23:I25"/>
    <mergeCell ref="G34:G36"/>
    <mergeCell ref="G31:G33"/>
    <mergeCell ref="J34:J36"/>
    <mergeCell ref="L34:L36"/>
    <mergeCell ref="D21:D30"/>
    <mergeCell ref="D32:D37"/>
    <mergeCell ref="E32:E41"/>
    <mergeCell ref="D38:D41"/>
    <mergeCell ref="D53:D62"/>
    <mergeCell ref="E53:E62"/>
    <mergeCell ref="E64:E73"/>
    <mergeCell ref="D106:D108"/>
    <mergeCell ref="E106:E108"/>
    <mergeCell ref="D109:D118"/>
    <mergeCell ref="E109:E118"/>
    <mergeCell ref="D120:D129"/>
    <mergeCell ref="E120:E129"/>
    <mergeCell ref="B131:E131"/>
    <mergeCell ref="D64:D73"/>
    <mergeCell ref="D92:D101"/>
    <mergeCell ref="B103:E103"/>
    <mergeCell ref="E92:E101"/>
    <mergeCell ref="D81:D90"/>
    <mergeCell ref="E81:E90"/>
    <mergeCell ref="C106:C108"/>
    <mergeCell ref="B4:F5"/>
    <mergeCell ref="C7:C9"/>
    <mergeCell ref="D7:D9"/>
    <mergeCell ref="E7:E9"/>
    <mergeCell ref="D10:D19"/>
    <mergeCell ref="E10:E19"/>
    <mergeCell ref="E21:E30"/>
    <mergeCell ref="L10:L12"/>
    <mergeCell ref="L7:L9"/>
    <mergeCell ref="L23:L25"/>
    <mergeCell ref="L20:L22"/>
    <mergeCell ref="L31:L33"/>
    <mergeCell ref="H7:H9"/>
    <mergeCell ref="I7:I9"/>
    <mergeCell ref="J7:J9"/>
    <mergeCell ref="G10:G12"/>
    <mergeCell ref="G7:G9"/>
    <mergeCell ref="I10:I12"/>
    <mergeCell ref="J10:J12"/>
    <mergeCell ref="C78:C80"/>
    <mergeCell ref="D78:D80"/>
    <mergeCell ref="E78:E80"/>
    <mergeCell ref="B75:E75"/>
    <mergeCell ref="H53:H55"/>
    <mergeCell ref="G53:G55"/>
    <mergeCell ref="I53:I55"/>
    <mergeCell ref="J53:J55"/>
    <mergeCell ref="B44:F46"/>
    <mergeCell ref="C50:C52"/>
    <mergeCell ref="D50:D52"/>
    <mergeCell ref="E50:E52"/>
    <mergeCell ref="H50:H52"/>
    <mergeCell ref="I50:I52"/>
    <mergeCell ref="J50:J52"/>
    <mergeCell ref="G50:G52"/>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